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480"/>
  </bookViews>
  <sheets>
    <sheet name="推理 (2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<sst xmlns="http://schemas.openxmlformats.org/spreadsheetml/2006/main" count="51" uniqueCount="51">
  <si>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测试集样本状态（ID：采集内、OOD：采集外）</t>
  </si>
  <si>
    <t>ID</t>
  </si>
  <si>
    <t>OOD</t>
  </si>
  <si>
    <t>权重</t>
  </si>
  <si>
    <t>目标物姿态</t>
  </si>
  <si>
    <t>方框内部</t>
  </si>
  <si>
    <t>序号</t>
  </si>
  <si>
    <t>机械臂状态</t>
  </si>
  <si>
    <t>具体表现</t>
  </si>
  <si>
    <t>分值</t>
  </si>
  <si>
    <t>test 1</t>
  </si>
  <si>
    <t>test 2</t>
  </si>
  <si>
    <t>test 3</t>
  </si>
  <si>
    <t>test 4</t>
  </si>
  <si>
    <t>test 5</t>
  </si>
  <si>
    <t>test 6</t>
  </si>
  <si>
    <t>站</t>
  </si>
  <si>
    <t>躺</t>
  </si>
  <si>
    <t>有马无盒</t>
  </si>
  <si>
    <t>有盒无马</t>
  </si>
  <si>
    <t>S1定位</t>
  </si>
  <si>
    <t>10s内几乎没有动作</t>
  </si>
  <si>
    <t>无规律乱动</t>
  </si>
  <si>
    <t>定位偏移</t>
  </si>
  <si>
    <t>缓慢靠近目标（5-10s）</t>
  </si>
  <si>
    <t>5s内快速准确定位</t>
  </si>
  <si>
    <t>S2抓取</t>
  </si>
  <si>
    <t>未抓取</t>
  </si>
  <si>
    <t>抓取失败</t>
  </si>
  <si>
    <t>抬起掉落</t>
  </si>
  <si>
    <t>稳定抓取</t>
  </si>
  <si>
    <t>S3搬运</t>
  </si>
  <si>
    <t>未搬运</t>
  </si>
  <si>
    <t>搬运未到位</t>
  </si>
  <si>
    <t>到达目标上方</t>
  </si>
  <si>
    <t>S4投放</t>
  </si>
  <si>
    <t>无投放</t>
  </si>
  <si>
    <t>落于盒外</t>
  </si>
  <si>
    <t>落于盒边</t>
  </si>
  <si>
    <t>准确入盒</t>
  </si>
  <si>
    <t>S5归位</t>
  </si>
  <si>
    <t>未归位</t>
  </si>
  <si>
    <t>归位偏差</t>
  </si>
  <si>
    <t>成功归位</t>
  </si>
  <si>
    <t>总分</t>
  </si>
  <si>
    <t>任务进度</t>
  </si>
  <si>
    <t>备注</t>
  </si>
  <si>
    <r>
      <t>N_ACTION_STEPS_OVERRIDE = 70</t>
    </r>
    <r>
      <rPr>
        <sz val="10"/>
        <rFont val="宋体-简"/>
        <charset val="1"/>
      </rPr>
      <t>（自动填表脚本不改动此项）</t>
    </r>
  </si>
  <si>
    <r>
      <t>NUM_INFERENCE_STEPS_OVERRIDE = None</t>
    </r>
    <r>
      <rPr>
        <sz val="10"/>
        <rFont val="宋体-简"/>
        <charset val="1"/>
      </rPr>
      <t>（自动填表脚本不改动此项）</t>
    </r>
  </si>
  <si>
    <t>提示词：自动填表脚本不改动此项</t>
  </si>
  <si>
    <r>
      <t>video</t>
    </r>
    <r>
      <rPr>
        <sz val="10"/>
        <rFont val="宋体-简"/>
        <charset val="1"/>
      </rPr>
      <t>路径：自动填表脚本不改动此项</t>
    </r>
    <r>
      <rPr>
        <sz val="10"/>
        <rFont val="Arial"/>
        <charset val="1"/>
      </rPr>
      <t xml:space="preserve">
</t>
    </r>
    <r>
      <rPr>
        <sz val="10"/>
        <rFont val="宋体-简"/>
        <charset val="1"/>
      </rPr>
      <t>模型路径：自动填表脚本不改动此项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</si>
</sst>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name val="Arial"/>
      <charset val="1"/>
    </font>
    <font>
      <b/>
      <sz val="10"/>
      <name val="Arial"/>
      <charset val="1"/>
    </font>
    <font>
      <sz val="10"/>
      <name val="宋体-简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7" borderId="1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15">
      <alignment vertical="center"/>
    </xf>
    <xf numFmtId="0" fontId="10" fillId="0" borderId="15">
      <alignment vertical="center"/>
    </xf>
    <xf numFmtId="0" fontId="11" fillId="0" borderId="16">
      <alignment vertical="center"/>
    </xf>
    <xf numFmtId="0" fontId="11" fillId="0" borderId="0">
      <alignment vertical="center"/>
    </xf>
    <xf numFmtId="0" fontId="12" fillId="8" borderId="17">
      <alignment vertical="center"/>
    </xf>
    <xf numFmtId="0" fontId="13" fillId="9" borderId="18">
      <alignment vertical="center"/>
    </xf>
    <xf numFmtId="0" fontId="14" fillId="9" borderId="17">
      <alignment vertical="center"/>
    </xf>
    <xf numFmtId="0" fontId="15" fillId="10" borderId="19">
      <alignment vertical="center"/>
    </xf>
    <xf numFmtId="0" fontId="16" fillId="0" borderId="20">
      <alignment vertical="center"/>
    </xf>
    <xf numFmtId="0" fontId="17" fillId="0" borderId="21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2" borderId="1" xfId="0" applyFill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2:K36"/>
  <sheetViews>
    <sheetView tabSelected="1" zoomScaleSheetLayoutView="60" topLeftCell="A8" workbookViewId="0">
      <selection activeCell="K31" sqref="K31"/>
    </sheetView>
  </sheetViews>
  <sheetFormatPr defaultColWidth="8.90178571428571" defaultRowHeight="14.4"/>
  <cols>
    <col min="3" max="3" width="21.5714285714286" customWidth="1"/>
  </cols>
  <sheetData>
    <row r="2" spans="1:11">
      <c r="A2" s="1" t="s">
        <v>0</v>
      </c>
      <c r="B2" s="2"/>
      <c r="C2" s="2"/>
      <c r="D2" s="3"/>
      <c r="E2" s="1" t="s">
        <v>1</v>
      </c>
      <c r="F2" s="2"/>
      <c r="G2" s="2"/>
      <c r="H2" s="3"/>
      <c r="I2" s="1" t="s">
        <v>2</v>
      </c>
      <c r="J2" s="3"/>
      <c r="K2" s="1" t="s">
        <v>3</v>
      </c>
    </row>
    <row r="3" spans="1:11">
      <c r="A3" s="1" t="s">
        <v>4</v>
      </c>
      <c r="B3" s="2"/>
      <c r="C3" s="2"/>
      <c r="D3" s="3"/>
      <c r="E3" s="1" t="s">
        <v>5</v>
      </c>
      <c r="F3" s="2"/>
      <c r="G3" s="2"/>
      <c r="H3" s="3"/>
      <c r="K3" s="4"/>
    </row>
    <row r="4" spans="1:11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  <c r="H4" s="1" t="s">
        <v>13</v>
      </c>
      <c r="I4" s="1" t="s">
        <v>14</v>
      </c>
      <c r="J4" s="1" t="s">
        <v>15</v>
      </c>
      <c r="K4" s="4"/>
    </row>
    <row r="5" spans="1:11">
      <c r="A5" s="5"/>
      <c r="B5" s="5"/>
      <c r="C5" s="5"/>
      <c r="D5" s="5"/>
      <c r="E5" s="1" t="s">
        <v>16</v>
      </c>
      <c r="F5" s="3"/>
      <c r="G5" s="1" t="s">
        <v>17</v>
      </c>
      <c r="H5" s="3"/>
      <c r="I5" s="1" t="s">
        <v>18</v>
      </c>
      <c r="J5" s="1" t="s">
        <v>19</v>
      </c>
      <c r="K5" s="5"/>
    </row>
    <row r="6" spans="1:11">
      <c r="A6" s="6">
        <v>1</v>
      </c>
      <c r="B6" s="6" t="s">
        <v>20</v>
      </c>
      <c r="C6" s="6" t="s">
        <v>21</v>
      </c>
      <c r="D6" s="6">
        <v>0</v>
      </c>
      <c r="E6" s="6">
        <v>2</v>
      </c>
      <c r="F6" s="6">
        <v>0</v>
      </c>
      <c r="G6" s="6">
        <v>2</v>
      </c>
      <c r="H6" s="6">
        <v>2</v>
      </c>
      <c r="I6" s="6">
        <v>2</v>
      </c>
      <c r="J6" s="6">
        <v>1</v>
      </c>
      <c r="K6" s="7">
        <v>0.285714285714286</v>
      </c>
    </row>
    <row r="7" spans="1:11">
      <c r="A7" s="4"/>
      <c r="B7" s="4"/>
      <c r="C7" s="6" t="s">
        <v>22</v>
      </c>
      <c r="D7" s="6">
        <v>1</v>
      </c>
      <c r="E7" s="4"/>
      <c r="F7" s="4"/>
      <c r="G7" s="4"/>
      <c r="H7" s="4"/>
      <c r="I7" s="4"/>
      <c r="J7" s="4"/>
      <c r="K7" s="4"/>
    </row>
    <row r="8" spans="1:11">
      <c r="A8" s="4"/>
      <c r="B8" s="4"/>
      <c r="C8" s="6" t="s">
        <v>23</v>
      </c>
      <c r="D8" s="6">
        <v>2</v>
      </c>
      <c r="E8" s="4"/>
      <c r="F8" s="4"/>
      <c r="G8" s="4"/>
      <c r="H8" s="4"/>
      <c r="I8" s="4"/>
      <c r="J8" s="4"/>
      <c r="K8" s="4"/>
    </row>
    <row r="9" spans="1:11">
      <c r="A9" s="4"/>
      <c r="B9" s="4"/>
      <c r="C9" s="6" t="s">
        <v>24</v>
      </c>
      <c r="D9" s="6">
        <v>3</v>
      </c>
      <c r="E9" s="4"/>
      <c r="F9" s="4"/>
      <c r="G9" s="4"/>
      <c r="H9" s="4"/>
      <c r="I9" s="4"/>
      <c r="J9" s="4"/>
      <c r="K9" s="4"/>
    </row>
    <row r="10" spans="1:11">
      <c r="A10" s="5"/>
      <c r="B10" s="5"/>
      <c r="C10" s="6" t="s">
        <v>25</v>
      </c>
      <c r="D10" s="6">
        <v>4</v>
      </c>
      <c r="E10" s="5"/>
      <c r="F10" s="5"/>
      <c r="G10" s="5"/>
      <c r="H10" s="5"/>
      <c r="I10" s="5"/>
      <c r="J10" s="5"/>
      <c r="K10" s="5"/>
    </row>
    <row r="11" spans="1:11">
      <c r="A11" s="8">
        <v>2</v>
      </c>
      <c r="B11" s="8" t="s">
        <v>26</v>
      </c>
      <c r="C11" s="8" t="s">
        <v>27</v>
      </c>
      <c r="D11" s="8">
        <v>0</v>
      </c>
      <c r="E11" s="8">
        <v>1</v>
      </c>
      <c r="F11" s="8">
        <v>0</v>
      </c>
      <c r="G11" s="8">
        <v>1</v>
      </c>
      <c r="H11" s="8">
        <v>0</v>
      </c>
      <c r="I11" s="8">
        <v>0</v>
      </c>
      <c r="J11" s="8">
        <v>1</v>
      </c>
      <c r="K11" s="7">
        <v>0.214285714285714</v>
      </c>
    </row>
    <row r="12" spans="1:11">
      <c r="A12" s="4"/>
      <c r="B12" s="4"/>
      <c r="C12" s="8" t="s">
        <v>28</v>
      </c>
      <c r="D12" s="8">
        <v>1</v>
      </c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8" t="s">
        <v>29</v>
      </c>
      <c r="D13" s="8">
        <v>2</v>
      </c>
      <c r="E13" s="4"/>
      <c r="F13" s="4"/>
      <c r="G13" s="4"/>
      <c r="H13" s="4"/>
      <c r="I13" s="4"/>
      <c r="J13" s="4"/>
      <c r="K13" s="4"/>
    </row>
    <row r="14" spans="1:11">
      <c r="A14" s="5"/>
      <c r="B14" s="5"/>
      <c r="C14" s="8" t="s">
        <v>30</v>
      </c>
      <c r="D14" s="8">
        <v>3</v>
      </c>
      <c r="E14" s="5"/>
      <c r="F14" s="5"/>
      <c r="G14" s="5"/>
      <c r="H14" s="5"/>
      <c r="I14" s="5"/>
      <c r="J14" s="5"/>
      <c r="K14" s="5"/>
    </row>
    <row r="15" spans="1:11">
      <c r="A15" s="9">
        <v>3</v>
      </c>
      <c r="B15" s="9" t="s">
        <v>31</v>
      </c>
      <c r="C15" s="9" t="s">
        <v>32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7">
        <v>0.142857142857143</v>
      </c>
    </row>
    <row r="16" spans="1:11">
      <c r="A16" s="4"/>
      <c r="B16" s="4"/>
      <c r="C16" s="9" t="s">
        <v>33</v>
      </c>
      <c r="D16" s="9">
        <v>1</v>
      </c>
      <c r="E16" s="4"/>
      <c r="F16" s="4"/>
      <c r="G16" s="4"/>
      <c r="H16" s="4"/>
      <c r="I16" s="4"/>
      <c r="J16" s="4"/>
      <c r="K16" s="4"/>
    </row>
    <row r="17" spans="1:11">
      <c r="A17" s="5"/>
      <c r="B17" s="5"/>
      <c r="C17" s="9" t="s">
        <v>34</v>
      </c>
      <c r="D17" s="9">
        <v>2</v>
      </c>
      <c r="E17" s="5"/>
      <c r="F17" s="5"/>
      <c r="G17" s="5"/>
      <c r="H17" s="5"/>
      <c r="I17" s="5"/>
      <c r="J17" s="5"/>
      <c r="K17" s="5"/>
    </row>
    <row r="18" spans="1:11">
      <c r="A18" s="10">
        <v>4</v>
      </c>
      <c r="B18" s="10" t="s">
        <v>35</v>
      </c>
      <c r="C18" s="10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7">
        <v>0.214285714285714</v>
      </c>
    </row>
    <row r="19" spans="1:11">
      <c r="A19" s="4"/>
      <c r="B19" s="4"/>
      <c r="C19" s="10" t="s">
        <v>37</v>
      </c>
      <c r="D19" s="10">
        <v>1</v>
      </c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10" t="s">
        <v>38</v>
      </c>
      <c r="D20" s="10">
        <v>2</v>
      </c>
      <c r="E20" s="4"/>
      <c r="F20" s="4"/>
      <c r="G20" s="4"/>
      <c r="H20" s="4"/>
      <c r="I20" s="4"/>
      <c r="J20" s="4"/>
      <c r="K20" s="4"/>
    </row>
    <row r="21" spans="1:11">
      <c r="A21" s="5"/>
      <c r="B21" s="5"/>
      <c r="C21" s="10" t="s">
        <v>39</v>
      </c>
      <c r="D21" s="10">
        <v>3</v>
      </c>
      <c r="E21" s="5"/>
      <c r="F21" s="5"/>
      <c r="G21" s="5"/>
      <c r="H21" s="5"/>
      <c r="I21" s="5"/>
      <c r="J21" s="5"/>
      <c r="K21" s="5"/>
    </row>
    <row r="22" spans="1:11">
      <c r="A22" s="11">
        <v>6</v>
      </c>
      <c r="B22" s="11" t="s">
        <v>40</v>
      </c>
      <c r="C22" s="11" t="s">
        <v>41</v>
      </c>
      <c r="D22" s="11">
        <v>0</v>
      </c>
      <c r="E22" s="11">
        <v>0</v>
      </c>
      <c r="F22" s="11">
        <v>0</v>
      </c>
      <c r="G22" s="11">
        <v>0</v>
      </c>
      <c r="H22" s="11">
        <v>0</v>
      </c>
      <c r="I22" s="11">
        <v>0</v>
      </c>
      <c r="J22" s="11">
        <v>0</v>
      </c>
      <c r="K22" s="7">
        <v>0.142857142857143</v>
      </c>
    </row>
    <row r="23" spans="1:11">
      <c r="A23" s="4"/>
      <c r="B23" s="4"/>
      <c r="C23" s="11" t="s">
        <v>42</v>
      </c>
      <c r="D23" s="11">
        <v>1</v>
      </c>
      <c r="E23" s="4"/>
      <c r="F23" s="4"/>
      <c r="G23" s="4"/>
      <c r="H23" s="4"/>
      <c r="I23" s="4"/>
      <c r="J23" s="4"/>
      <c r="K23" s="4"/>
    </row>
    <row r="24" spans="1:11">
      <c r="A24" s="5"/>
      <c r="B24" s="5"/>
      <c r="C24" s="11" t="s">
        <v>43</v>
      </c>
      <c r="D24" s="11">
        <v>2</v>
      </c>
      <c r="E24" s="5"/>
      <c r="F24" s="5"/>
      <c r="G24" s="5"/>
      <c r="H24" s="5"/>
      <c r="I24" s="5"/>
      <c r="J24" s="5"/>
      <c r="K24" s="5"/>
    </row>
    <row r="25" spans="1:11">
      <c r="A25" s="1" t="s">
        <v>44</v>
      </c>
      <c r="B25" s="2"/>
      <c r="C25" s="3"/>
      <c r="D25" s="12">
        <v>14</v>
      </c>
      <c r="E25" s="12">
        <f t="shared" ref="E25:J25" si="0">SUM(E6:E24)</f>
        <v>3</v>
      </c>
      <c r="F25" s="12">
        <f t="shared" si="0"/>
        <v>0</v>
      </c>
      <c r="G25" s="12">
        <f t="shared" si="0"/>
        <v>3</v>
      </c>
      <c r="H25" s="12">
        <f t="shared" si="0"/>
        <v>2</v>
      </c>
      <c r="I25" s="12">
        <f t="shared" si="0"/>
        <v>2</v>
      </c>
      <c r="J25" s="12">
        <f t="shared" si="0"/>
        <v>2</v>
      </c>
    </row>
    <row r="26" spans="1:11">
      <c r="A26" s="1" t="s">
        <v>45</v>
      </c>
      <c r="B26" s="2"/>
      <c r="C26" s="3"/>
      <c r="D26" s="13">
        <v>1</v>
      </c>
      <c r="E26" s="13">
        <f t="shared" ref="E26:J26" si="1">E25/$D$25</f>
        <v>0.214285714285714</v>
      </c>
      <c r="F26" s="13">
        <f t="shared" si="1"/>
        <v>0</v>
      </c>
      <c r="G26" s="13">
        <f t="shared" si="1"/>
        <v>0.214285714285714</v>
      </c>
      <c r="H26" s="13">
        <f t="shared" si="1"/>
        <v>0.142857142857143</v>
      </c>
      <c r="I26" s="13">
        <f t="shared" si="1"/>
        <v>0.142857142857143</v>
      </c>
      <c r="J26" s="13">
        <f t="shared" si="1"/>
        <v>0.142857142857143</v>
      </c>
    </row>
    <row r="27" spans="1:11">
      <c r="A27" s="1" t="s">
        <v>46</v>
      </c>
      <c r="B27" s="2"/>
      <c r="C27" s="2"/>
      <c r="D27" s="3"/>
      <c r="E27" s="14"/>
      <c r="F27" s="15"/>
      <c r="G27" s="15"/>
      <c r="H27" s="15"/>
      <c r="I27" s="15"/>
      <c r="J27" s="16"/>
    </row>
    <row r="28" spans="1:11">
      <c r="C28" s="17" t="s">
        <v>47</v>
      </c>
      <c r="D28" s="2"/>
      <c r="E28" s="2"/>
      <c r="F28" s="2"/>
      <c r="G28" s="2"/>
      <c r="H28" s="2"/>
      <c r="I28" s="2"/>
      <c r="J28" s="3"/>
    </row>
    <row r="29" spans="1:11">
      <c r="C29" s="17" t="s">
        <v>48</v>
      </c>
      <c r="D29" s="2"/>
      <c r="E29" s="2"/>
      <c r="F29" s="2"/>
      <c r="G29" s="2"/>
      <c r="H29" s="2"/>
      <c r="I29" s="2"/>
      <c r="J29" s="3"/>
    </row>
    <row r="30" spans="1:11">
      <c r="C30" s="18" t="s">
        <v>49</v>
      </c>
      <c r="D30" s="2"/>
      <c r="E30" s="2"/>
      <c r="F30" s="2"/>
      <c r="G30" s="2"/>
      <c r="H30" s="2"/>
      <c r="I30" s="2"/>
      <c r="J30" s="3"/>
    </row>
    <row r="31" spans="1:11">
      <c r="C31" s="17" t="s">
        <v>50</v>
      </c>
      <c r="D31" s="19"/>
      <c r="E31" s="19"/>
      <c r="F31" s="19"/>
      <c r="G31" s="19"/>
      <c r="H31" s="19"/>
      <c r="I31" s="19"/>
      <c r="J31" s="20"/>
    </row>
    <row r="32" spans="1:11">
      <c r="C32" s="21"/>
      <c r="J32" s="22"/>
    </row>
    <row r="33" spans="3:10">
      <c r="C33" s="21"/>
      <c r="J33" s="22"/>
    </row>
    <row r="34" spans="3:10">
      <c r="C34" s="21"/>
      <c r="J34" s="22"/>
    </row>
    <row r="35" spans="3:10">
      <c r="C35" s="21"/>
      <c r="J35" s="22"/>
    </row>
    <row r="36" spans="3:10">
      <c r="C36" s="23"/>
      <c r="D36" s="24"/>
      <c r="E36" s="24"/>
      <c r="F36" s="24"/>
      <c r="G36" s="24"/>
      <c r="H36" s="24"/>
      <c r="I36" s="24"/>
      <c r="J36" s="25"/>
    </row>
  </sheetData>
  <mergeCells count="65">
    <mergeCell ref="A2:D2"/>
    <mergeCell ref="E2:H2"/>
    <mergeCell ref="I2:J2"/>
    <mergeCell ref="A3:D3"/>
    <mergeCell ref="E3:H3"/>
    <mergeCell ref="E5:F5"/>
    <mergeCell ref="G5:H5"/>
    <mergeCell ref="A25:C25"/>
    <mergeCell ref="A26:C26"/>
    <mergeCell ref="A27:D27"/>
    <mergeCell ref="E27:J27"/>
    <mergeCell ref="C28:J28"/>
    <mergeCell ref="C29:J29"/>
    <mergeCell ref="C30:J30"/>
    <mergeCell ref="A4:A5"/>
    <mergeCell ref="A6:A10"/>
    <mergeCell ref="A11:A14"/>
    <mergeCell ref="A15:A17"/>
    <mergeCell ref="A18:A21"/>
    <mergeCell ref="A22:A24"/>
    <mergeCell ref="B4:B5"/>
    <mergeCell ref="B6:B10"/>
    <mergeCell ref="B11:B14"/>
    <mergeCell ref="B15:B17"/>
    <mergeCell ref="B18:B21"/>
    <mergeCell ref="B22:B24"/>
    <mergeCell ref="C4:C5"/>
    <mergeCell ref="D4:D5"/>
    <mergeCell ref="E6:E10"/>
    <mergeCell ref="E11:E14"/>
    <mergeCell ref="E15:E17"/>
    <mergeCell ref="E18:E21"/>
    <mergeCell ref="E22:E24"/>
    <mergeCell ref="F6:F10"/>
    <mergeCell ref="F11:F14"/>
    <mergeCell ref="F15:F17"/>
    <mergeCell ref="F18:F21"/>
    <mergeCell ref="F22:F24"/>
    <mergeCell ref="G6:G10"/>
    <mergeCell ref="G11:G14"/>
    <mergeCell ref="G15:G17"/>
    <mergeCell ref="G18:G21"/>
    <mergeCell ref="G22:G24"/>
    <mergeCell ref="H6:H10"/>
    <mergeCell ref="H11:H14"/>
    <mergeCell ref="H15:H17"/>
    <mergeCell ref="H18:H21"/>
    <mergeCell ref="H22:H24"/>
    <mergeCell ref="I6:I10"/>
    <mergeCell ref="I11:I14"/>
    <mergeCell ref="I15:I17"/>
    <mergeCell ref="I18:I21"/>
    <mergeCell ref="I22:I24"/>
    <mergeCell ref="J6:J10"/>
    <mergeCell ref="J11:J14"/>
    <mergeCell ref="J15:J17"/>
    <mergeCell ref="J18:J21"/>
    <mergeCell ref="J22:J24"/>
    <mergeCell ref="K2:K5"/>
    <mergeCell ref="K6:K10"/>
    <mergeCell ref="K11:K14"/>
    <mergeCell ref="K15:K17"/>
    <mergeCell ref="K18:K21"/>
    <mergeCell ref="K22:K24"/>
    <mergeCell ref="C31:J36"/>
  </mergeCells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 scaleWithDoc="0">
    <oddHeader>&amp;C&amp;P</oddHeader>
    <oddFooter>&amp;C&amp;F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推理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86187</dc:creator>
  <cp:lastModifiedBy>liuyuan</cp:lastModifiedBy>
  <dcterms:created xsi:type="dcterms:W3CDTF">2026-07-08T17:02:00Z</dcterms:created>
  <dcterms:modified xsi:type="dcterms:W3CDTF">2026-07-15T10:59:38Z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34800464F4C167D120F7566AB006D0E0_43</vt:lpwstr>
  </property>
  <property fmtid="{D5CDD505-2E9C-101B-9397-08002B2CF9AE}" pid="3" name="KSOProductBuildVer">
    <vt:lpwstr>2052-12.1.26026.26026</vt:lpwstr>
  </property>
  <property fmtid="{D5CDD505-2E9C-101B-9397-08002B2CF9AE}" pid="4" name="CalculationRule">
    <vt:i4>0</vt:i4>
  </property>
</Properties>
</file>